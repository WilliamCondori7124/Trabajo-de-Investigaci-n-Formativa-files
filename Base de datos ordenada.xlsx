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mc:Ignorable="x15 xr xr6 xr10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ownloads\"/>
    </mc:Choice>
  </mc:AlternateContent>
  <xr:revisionPtr revIDLastSave="0" documentId="13_ncr:40009_{F16F635E-313A-4D45-9ADE-2A442EDF548D}" xr6:coauthVersionLast="47" xr6:coauthVersionMax="47" xr10:uidLastSave="{00000000-0000-0000-0000-000000000000}"/>
  <bookViews>
    <workbookView xWindow="-120" yWindow="-120" windowWidth="29040" windowHeight="15720"/>
  </bookViews>
  <sheets>
    <sheet name="Hoja1" sheetId="2" r:id="rId1"/>
  </sheet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X5" i="2" l="1"/>
  <c r="Y5" i="2" s="1"/>
  <c r="X6" i="2"/>
  <c r="Y6" i="2" s="1"/>
  <c r="X7" i="2"/>
  <c r="Y7" i="2" s="1"/>
  <c r="X4" i="2"/>
  <c r="Y4" i="2" s="1"/>
  <c r="W5" i="2"/>
  <c r="W6" i="2"/>
  <c r="W7" i="2"/>
  <c r="W4" i="2"/>
  <c r="W8" i="2" s="1"/>
  <c r="Y8" i="2" l="1"/>
  <c r="X8" i="2"/>
</calcChain>
</file>

<file path=xl/sharedStrings.xml><?xml version="1.0" encoding="utf-8"?>
<sst xmlns="http://schemas.openxmlformats.org/spreadsheetml/2006/main" count="14" uniqueCount="10">
  <si>
    <t>Rendimiento</t>
  </si>
  <si>
    <t>Réplicas</t>
  </si>
  <si>
    <t>Tecnologías</t>
  </si>
  <si>
    <t>A</t>
  </si>
  <si>
    <t>B</t>
  </si>
  <si>
    <t>C</t>
  </si>
  <si>
    <t>D</t>
  </si>
  <si>
    <t>Tamaño</t>
  </si>
  <si>
    <t>Total</t>
  </si>
  <si>
    <t>Media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</si>
</sst>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40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59999389629810485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3">
    <xf numFmtId="0" fontId="0" fillId="0" borderId="0" xfId="0"/>
    <xf numFmtId="0" fontId="0" fillId="39" borderId="10" xfId="0" applyFill="1" applyBorder="1"/>
    <xf numFmtId="0" fontId="0" fillId="38" borderId="11" xfId="0" applyFill="1" applyBorder="1" applyAlignment="1">
      <alignment horizontal="center" vertical="top"/>
    </xf>
    <xf numFmtId="0" fontId="0" fillId="38" borderId="12" xfId="0" applyFill="1" applyBorder="1" applyAlignment="1">
      <alignment horizontal="center" vertical="top"/>
    </xf>
    <xf numFmtId="0" fontId="0" fillId="38" borderId="13" xfId="0" applyFill="1" applyBorder="1" applyAlignment="1">
      <alignment horizontal="center" vertical="top"/>
    </xf>
    <xf numFmtId="0" fontId="0" fillId="38" borderId="14" xfId="0" applyFill="1" applyBorder="1" applyAlignment="1">
      <alignment horizontal="center" vertical="top"/>
    </xf>
    <xf numFmtId="0" fontId="0" fillId="39" borderId="15" xfId="0" applyFill="1" applyBorder="1"/>
    <xf numFmtId="0" fontId="0" fillId="36" borderId="10" xfId="0" applyFill="1" applyBorder="1" applyAlignment="1">
      <alignment horizontal="center"/>
    </xf>
    <xf numFmtId="0" fontId="17" fillId="34" borderId="10" xfId="0" applyFont="1" applyFill="1" applyBorder="1" applyAlignment="1">
      <alignment horizontal="center"/>
    </xf>
    <xf numFmtId="0" fontId="0" fillId="33" borderId="10" xfId="0" applyFill="1" applyBorder="1" applyAlignment="1">
      <alignment horizontal="center"/>
    </xf>
    <xf numFmtId="0" fontId="0" fillId="35" borderId="10" xfId="0" applyFill="1" applyBorder="1"/>
    <xf numFmtId="0" fontId="0" fillId="37" borderId="10" xfId="0" applyFill="1" applyBorder="1"/>
    <xf numFmtId="0" fontId="0" fillId="0" borderId="10" xfId="0" applyBorder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PE"/>
              <a:t>Medias</a:t>
            </a:r>
            <a:r>
              <a:rPr lang="es-PE" baseline="0"/>
              <a:t> de la producción de los tratamientos</a:t>
            </a:r>
            <a:endParaRPr lang="es-P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Hoja1!$B$11:$B$14</c:f>
              <c:strCache>
                <c:ptCount val="4"/>
                <c:pt idx="0">
                  <c:v>A</c:v>
                </c:pt>
                <c:pt idx="1">
                  <c:v>B</c:v>
                </c:pt>
                <c:pt idx="2">
                  <c:v>C</c:v>
                </c:pt>
                <c:pt idx="3">
                  <c:v>D</c:v>
                </c:pt>
              </c:strCache>
            </c:strRef>
          </c:cat>
          <c:val>
            <c:numRef>
              <c:f>Hoja1!$C$11:$C$14</c:f>
              <c:numCache>
                <c:formatCode>General</c:formatCode>
                <c:ptCount val="4"/>
                <c:pt idx="0">
                  <c:v>919.38095238095241</c:v>
                </c:pt>
                <c:pt idx="1">
                  <c:v>1063.047619047619</c:v>
                </c:pt>
                <c:pt idx="2">
                  <c:v>934.61904761904759</c:v>
                </c:pt>
                <c:pt idx="3">
                  <c:v>960.19047619047615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44B-4ABB-AAA6-2613181BBA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21641743"/>
        <c:axId val="1721642159"/>
      </c:barChart>
      <c:catAx>
        <c:axId val="17216417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721642159"/>
        <c:crosses val="autoZero"/>
        <c:auto val="1"/>
        <c:lblAlgn val="ctr"/>
        <c:lblOffset val="100"/>
        <c:noMultiLvlLbl val="0"/>
      </c:catAx>
      <c:valAx>
        <c:axId val="1721642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72164174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22</xdr:col>
      <xdr:colOff>279952</xdr:colOff>
      <xdr:row>1</xdr:row>
      <xdr:rowOff>188843</xdr:rowOff>
    </xdr:from>
    <xdr:ext cx="158248" cy="172227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3" name="CuadroTexto 2">
              <a:extLst>
                <a:ext uri="{FF2B5EF4-FFF2-40B4-BE49-F238E27FC236}">
                  <a16:creationId xmlns:a16="http://schemas.microsoft.com/office/drawing/2014/main" id="{66DC830B-004E-4CD1-8848-6630DE772D63}"/>
                </a:ext>
              </a:extLst>
            </xdr:cNvPr>
            <xdr:cNvSpPr txBox="1"/>
          </xdr:nvSpPr>
          <xdr:spPr>
            <a:xfrm>
              <a:off x="17043952" y="379343"/>
              <a:ext cx="158248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PE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𝑛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𝑖</m:t>
                        </m:r>
                      </m:sub>
                    </m:sSub>
                  </m:oMath>
                </m:oMathPara>
              </a14:m>
              <a:endParaRPr lang="es-PE" sz="1100"/>
            </a:p>
          </xdr:txBody>
        </xdr:sp>
      </mc:Choice>
      <mc:Fallback>
        <xdr:sp macro="" textlink="">
          <xdr:nvSpPr>
            <xdr:cNvPr id="3" name="CuadroTexto 2">
              <a:extLst>
                <a:ext uri="{FF2B5EF4-FFF2-40B4-BE49-F238E27FC236}">
                  <a16:creationId xmlns:a16="http://schemas.microsoft.com/office/drawing/2014/main" id="{66DC830B-004E-4CD1-8848-6630DE772D63}"/>
                </a:ext>
              </a:extLst>
            </xdr:cNvPr>
            <xdr:cNvSpPr txBox="1"/>
          </xdr:nvSpPr>
          <xdr:spPr>
            <a:xfrm>
              <a:off x="17043952" y="379343"/>
              <a:ext cx="158248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𝑛</a:t>
              </a:r>
              <a:r>
                <a:rPr lang="es-PE" sz="1100" b="0" i="0">
                  <a:latin typeface="Cambria Math" panose="02040503050406030204" pitchFamily="18" charset="0"/>
                </a:rPr>
                <a:t>_</a:t>
              </a:r>
              <a:r>
                <a:rPr lang="es-MX" sz="1100" b="0" i="0">
                  <a:latin typeface="Cambria Math" panose="02040503050406030204" pitchFamily="18" charset="0"/>
                </a:rPr>
                <a:t>𝑖</a:t>
              </a:r>
              <a:endParaRPr lang="es-PE" sz="1100"/>
            </a:p>
          </xdr:txBody>
        </xdr:sp>
      </mc:Fallback>
    </mc:AlternateContent>
    <xdr:clientData/>
  </xdr:oneCellAnchor>
  <xdr:oneCellAnchor>
    <xdr:from>
      <xdr:col>23</xdr:col>
      <xdr:colOff>250134</xdr:colOff>
      <xdr:row>1</xdr:row>
      <xdr:rowOff>183874</xdr:rowOff>
    </xdr:from>
    <xdr:ext cx="173060" cy="172227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4" name="CuadroTexto 3">
              <a:extLst>
                <a:ext uri="{FF2B5EF4-FFF2-40B4-BE49-F238E27FC236}">
                  <a16:creationId xmlns:a16="http://schemas.microsoft.com/office/drawing/2014/main" id="{86756380-29C0-4119-86F0-7DBB070BF6CE}"/>
                </a:ext>
              </a:extLst>
            </xdr:cNvPr>
            <xdr:cNvSpPr txBox="1"/>
          </xdr:nvSpPr>
          <xdr:spPr>
            <a:xfrm>
              <a:off x="17776134" y="374374"/>
              <a:ext cx="173060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PE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𝑦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𝑖</m:t>
                        </m:r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.</m:t>
                        </m:r>
                      </m:sub>
                    </m:sSub>
                  </m:oMath>
                </m:oMathPara>
              </a14:m>
              <a:endParaRPr lang="es-PE" sz="1100"/>
            </a:p>
          </xdr:txBody>
        </xdr:sp>
      </mc:Choice>
      <mc:Fallback>
        <xdr:sp macro="" textlink="">
          <xdr:nvSpPr>
            <xdr:cNvPr id="4" name="CuadroTexto 3">
              <a:extLst>
                <a:ext uri="{FF2B5EF4-FFF2-40B4-BE49-F238E27FC236}">
                  <a16:creationId xmlns:a16="http://schemas.microsoft.com/office/drawing/2014/main" id="{86756380-29C0-4119-86F0-7DBB070BF6CE}"/>
                </a:ext>
              </a:extLst>
            </xdr:cNvPr>
            <xdr:cNvSpPr txBox="1"/>
          </xdr:nvSpPr>
          <xdr:spPr>
            <a:xfrm>
              <a:off x="17776134" y="374374"/>
              <a:ext cx="173060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𝑦</a:t>
              </a:r>
              <a:r>
                <a:rPr lang="es-PE" sz="1100" b="0" i="0">
                  <a:latin typeface="Cambria Math" panose="02040503050406030204" pitchFamily="18" charset="0"/>
                </a:rPr>
                <a:t>_(</a:t>
              </a:r>
              <a:r>
                <a:rPr lang="es-MX" sz="1100" b="0" i="0">
                  <a:latin typeface="Cambria Math" panose="02040503050406030204" pitchFamily="18" charset="0"/>
                </a:rPr>
                <a:t>𝑖.</a:t>
              </a:r>
              <a:r>
                <a:rPr lang="es-PE" sz="1100" b="0" i="0">
                  <a:latin typeface="Cambria Math" panose="02040503050406030204" pitchFamily="18" charset="0"/>
                </a:rPr>
                <a:t>)</a:t>
              </a:r>
              <a:endParaRPr lang="es-PE" sz="1100"/>
            </a:p>
          </xdr:txBody>
        </xdr:sp>
      </mc:Fallback>
    </mc:AlternateContent>
    <xdr:clientData/>
  </xdr:oneCellAnchor>
  <xdr:oneCellAnchor>
    <xdr:from>
      <xdr:col>24</xdr:col>
      <xdr:colOff>271669</xdr:colOff>
      <xdr:row>1</xdr:row>
      <xdr:rowOff>188843</xdr:rowOff>
    </xdr:from>
    <xdr:ext cx="173060" cy="172227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5" name="CuadroTexto 4">
              <a:extLst>
                <a:ext uri="{FF2B5EF4-FFF2-40B4-BE49-F238E27FC236}">
                  <a16:creationId xmlns:a16="http://schemas.microsoft.com/office/drawing/2014/main" id="{40A87A78-112B-46CB-9A1B-742B13C4127F}"/>
                </a:ext>
              </a:extLst>
            </xdr:cNvPr>
            <xdr:cNvSpPr txBox="1"/>
          </xdr:nvSpPr>
          <xdr:spPr>
            <a:xfrm>
              <a:off x="18559669" y="379343"/>
              <a:ext cx="173060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acc>
                      <m:accPr>
                        <m:chr m:val="̅"/>
                        <m:ctrlPr>
                          <a:rPr lang="es-PE" sz="110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sSub>
                          <m:sSubPr>
                            <m:ctrlPr>
                              <a:rPr lang="es-PE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𝑦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𝑖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.</m:t>
                            </m:r>
                          </m:sub>
                        </m:sSub>
                      </m:e>
                    </m:acc>
                  </m:oMath>
                </m:oMathPara>
              </a14:m>
              <a:endParaRPr lang="es-PE" sz="1100"/>
            </a:p>
          </xdr:txBody>
        </xdr:sp>
      </mc:Choice>
      <mc:Fallback>
        <xdr:sp macro="" textlink="">
          <xdr:nvSpPr>
            <xdr:cNvPr id="5" name="CuadroTexto 4">
              <a:extLst>
                <a:ext uri="{FF2B5EF4-FFF2-40B4-BE49-F238E27FC236}">
                  <a16:creationId xmlns:a16="http://schemas.microsoft.com/office/drawing/2014/main" id="{40A87A78-112B-46CB-9A1B-742B13C4127F}"/>
                </a:ext>
              </a:extLst>
            </xdr:cNvPr>
            <xdr:cNvSpPr txBox="1"/>
          </xdr:nvSpPr>
          <xdr:spPr>
            <a:xfrm>
              <a:off x="18559669" y="379343"/>
              <a:ext cx="173060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PE" sz="1100" i="0">
                  <a:latin typeface="Cambria Math" panose="02040503050406030204" pitchFamily="18" charset="0"/>
                </a:rPr>
                <a:t>(</a:t>
              </a:r>
              <a:r>
                <a:rPr lang="es-MX" sz="1100" b="0" i="0">
                  <a:latin typeface="Cambria Math" panose="02040503050406030204" pitchFamily="18" charset="0"/>
                </a:rPr>
                <a:t>𝑦</a:t>
              </a:r>
              <a:r>
                <a:rPr lang="es-PE" sz="1100" b="0" i="0">
                  <a:latin typeface="Cambria Math" panose="02040503050406030204" pitchFamily="18" charset="0"/>
                </a:rPr>
                <a:t>_(</a:t>
              </a:r>
              <a:r>
                <a:rPr lang="es-MX" sz="1100" b="0" i="0">
                  <a:latin typeface="Cambria Math" panose="02040503050406030204" pitchFamily="18" charset="0"/>
                </a:rPr>
                <a:t>𝑖.</a:t>
              </a:r>
              <a:r>
                <a:rPr lang="es-PE" sz="1100" b="0" i="0">
                  <a:latin typeface="Cambria Math" panose="02040503050406030204" pitchFamily="18" charset="0"/>
                </a:rPr>
                <a:t>) ) ̅</a:t>
              </a:r>
              <a:endParaRPr lang="es-PE" sz="1100"/>
            </a:p>
          </xdr:txBody>
        </xdr:sp>
      </mc:Fallback>
    </mc:AlternateContent>
    <xdr:clientData/>
  </xdr:oneCellAnchor>
  <xdr:twoCellAnchor>
    <xdr:from>
      <xdr:col>4</xdr:col>
      <xdr:colOff>748392</xdr:colOff>
      <xdr:row>8</xdr:row>
      <xdr:rowOff>138792</xdr:rowOff>
    </xdr:from>
    <xdr:to>
      <xdr:col>10</xdr:col>
      <xdr:colOff>748392</xdr:colOff>
      <xdr:row>23</xdr:row>
      <xdr:rowOff>24492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8F3C2E51-61CC-42F9-AEA0-5D3B1E0E87A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14"/>
  <sheetViews>
    <sheetView tabSelected="1" zoomScale="70" zoomScaleNormal="70" workbookViewId="0">
      <selection activeCell="S26" sqref="S26"/>
    </sheetView>
  </sheetViews>
  <sheetFormatPr baseColWidth="10" defaultRowHeight="15" x14ac:dyDescent="0.25"/>
  <sheetData>
    <row r="1" spans="1:25" x14ac:dyDescent="0.25">
      <c r="A1" s="7" t="s">
        <v>2</v>
      </c>
      <c r="B1" s="8" t="s">
        <v>0</v>
      </c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</row>
    <row r="2" spans="1:25" x14ac:dyDescent="0.25">
      <c r="A2" s="7"/>
      <c r="B2" s="9" t="s">
        <v>1</v>
      </c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4" t="s">
        <v>7</v>
      </c>
      <c r="X2" s="2" t="s">
        <v>8</v>
      </c>
      <c r="Y2" s="2" t="s">
        <v>9</v>
      </c>
    </row>
    <row r="3" spans="1:25" x14ac:dyDescent="0.25">
      <c r="A3" s="7"/>
      <c r="B3" s="10">
        <v>1</v>
      </c>
      <c r="C3" s="10">
        <v>2</v>
      </c>
      <c r="D3" s="10">
        <v>3</v>
      </c>
      <c r="E3" s="10">
        <v>4</v>
      </c>
      <c r="F3" s="10">
        <v>5</v>
      </c>
      <c r="G3" s="10">
        <v>6</v>
      </c>
      <c r="H3" s="10">
        <v>7</v>
      </c>
      <c r="I3" s="10">
        <v>8</v>
      </c>
      <c r="J3" s="10">
        <v>9</v>
      </c>
      <c r="K3" s="10">
        <v>10</v>
      </c>
      <c r="L3" s="10">
        <v>11</v>
      </c>
      <c r="M3" s="10">
        <v>12</v>
      </c>
      <c r="N3" s="10">
        <v>13</v>
      </c>
      <c r="O3" s="10">
        <v>14</v>
      </c>
      <c r="P3" s="10">
        <v>15</v>
      </c>
      <c r="Q3" s="10">
        <v>16</v>
      </c>
      <c r="R3" s="10">
        <v>17</v>
      </c>
      <c r="S3" s="10">
        <v>18</v>
      </c>
      <c r="T3" s="10">
        <v>19</v>
      </c>
      <c r="U3" s="10">
        <v>20</v>
      </c>
      <c r="V3" s="10">
        <v>21</v>
      </c>
      <c r="W3" s="5"/>
      <c r="X3" s="3"/>
      <c r="Y3" s="3"/>
    </row>
    <row r="4" spans="1:25" x14ac:dyDescent="0.25">
      <c r="A4" s="11" t="s">
        <v>3</v>
      </c>
      <c r="B4" s="12">
        <v>1036</v>
      </c>
      <c r="C4" s="12">
        <v>364</v>
      </c>
      <c r="D4" s="12">
        <v>1019</v>
      </c>
      <c r="E4" s="12">
        <v>447</v>
      </c>
      <c r="F4" s="12">
        <v>1532</v>
      </c>
      <c r="G4" s="12">
        <v>1161</v>
      </c>
      <c r="H4" s="12">
        <v>1309</v>
      </c>
      <c r="I4" s="12">
        <v>834</v>
      </c>
      <c r="J4" s="12">
        <v>729</v>
      </c>
      <c r="K4" s="12">
        <v>749</v>
      </c>
      <c r="L4" s="12">
        <v>918</v>
      </c>
      <c r="M4" s="12">
        <v>668</v>
      </c>
      <c r="N4" s="12">
        <v>460</v>
      </c>
      <c r="O4" s="12">
        <v>1446</v>
      </c>
      <c r="P4" s="12">
        <v>770</v>
      </c>
      <c r="Q4" s="12">
        <v>675</v>
      </c>
      <c r="R4" s="12">
        <v>515</v>
      </c>
      <c r="S4" s="12">
        <v>2110</v>
      </c>
      <c r="T4" s="12">
        <v>1046</v>
      </c>
      <c r="U4" s="12">
        <v>517</v>
      </c>
      <c r="V4" s="12">
        <v>1002</v>
      </c>
      <c r="W4" s="6">
        <f>COUNT(B4:V4)</f>
        <v>21</v>
      </c>
      <c r="X4" s="1">
        <f>SUM(B4:V4)</f>
        <v>19307</v>
      </c>
      <c r="Y4" s="1">
        <f>X4/W4</f>
        <v>919.38095238095241</v>
      </c>
    </row>
    <row r="5" spans="1:25" x14ac:dyDescent="0.25">
      <c r="A5" s="11" t="s">
        <v>4</v>
      </c>
      <c r="B5" s="12">
        <v>1272</v>
      </c>
      <c r="C5" s="12">
        <v>249</v>
      </c>
      <c r="D5" s="12">
        <v>1019</v>
      </c>
      <c r="E5" s="12">
        <v>780</v>
      </c>
      <c r="F5" s="12">
        <v>1214</v>
      </c>
      <c r="G5" s="12">
        <v>1521</v>
      </c>
      <c r="H5" s="12">
        <v>1477</v>
      </c>
      <c r="I5" s="12">
        <v>1087</v>
      </c>
      <c r="J5" s="12">
        <v>787</v>
      </c>
      <c r="K5" s="12">
        <v>543</v>
      </c>
      <c r="L5" s="12">
        <v>1214</v>
      </c>
      <c r="M5" s="12">
        <v>835</v>
      </c>
      <c r="N5" s="12">
        <v>566</v>
      </c>
      <c r="O5" s="12">
        <v>1794</v>
      </c>
      <c r="P5" s="12">
        <v>527</v>
      </c>
      <c r="Q5" s="12">
        <v>992</v>
      </c>
      <c r="R5" s="12">
        <v>606</v>
      </c>
      <c r="S5" s="12">
        <v>1987</v>
      </c>
      <c r="T5" s="12">
        <v>1993</v>
      </c>
      <c r="U5" s="12">
        <v>559</v>
      </c>
      <c r="V5" s="12">
        <v>1302</v>
      </c>
      <c r="W5" s="6">
        <f t="shared" ref="W5:W7" si="0">COUNT(B5:V5)</f>
        <v>21</v>
      </c>
      <c r="X5" s="1">
        <f t="shared" ref="X5:X7" si="1">SUM(B5:V5)</f>
        <v>22324</v>
      </c>
      <c r="Y5" s="1">
        <f t="shared" ref="Y5:Y7" si="2">X5/W5</f>
        <v>1063.047619047619</v>
      </c>
    </row>
    <row r="6" spans="1:25" x14ac:dyDescent="0.25">
      <c r="A6" s="11" t="s">
        <v>5</v>
      </c>
      <c r="B6" s="12">
        <v>787</v>
      </c>
      <c r="C6" s="12">
        <v>258</v>
      </c>
      <c r="D6" s="12">
        <v>911</v>
      </c>
      <c r="E6" s="12">
        <v>717</v>
      </c>
      <c r="F6" s="12">
        <v>1246</v>
      </c>
      <c r="G6" s="12">
        <v>1410</v>
      </c>
      <c r="H6" s="12">
        <v>1626</v>
      </c>
      <c r="I6" s="12">
        <v>1065</v>
      </c>
      <c r="J6" s="12">
        <v>844</v>
      </c>
      <c r="K6" s="12">
        <v>700</v>
      </c>
      <c r="L6" s="12">
        <v>1055</v>
      </c>
      <c r="M6" s="12">
        <v>818</v>
      </c>
      <c r="N6" s="12">
        <v>508</v>
      </c>
      <c r="O6" s="12">
        <v>1688</v>
      </c>
      <c r="P6" s="12">
        <v>960</v>
      </c>
      <c r="Q6" s="12">
        <v>401</v>
      </c>
      <c r="R6" s="12">
        <v>422</v>
      </c>
      <c r="S6" s="12">
        <v>1706</v>
      </c>
      <c r="T6" s="12">
        <v>958</v>
      </c>
      <c r="U6" s="12">
        <v>527</v>
      </c>
      <c r="V6" s="12">
        <v>1020</v>
      </c>
      <c r="W6" s="6">
        <f t="shared" si="0"/>
        <v>21</v>
      </c>
      <c r="X6" s="1">
        <f t="shared" si="1"/>
        <v>19627</v>
      </c>
      <c r="Y6" s="1">
        <f t="shared" si="2"/>
        <v>934.61904761904759</v>
      </c>
    </row>
    <row r="7" spans="1:25" x14ac:dyDescent="0.25">
      <c r="A7" s="11" t="s">
        <v>6</v>
      </c>
      <c r="B7" s="12">
        <v>806</v>
      </c>
      <c r="C7" s="12">
        <v>370</v>
      </c>
      <c r="D7" s="12">
        <v>1215</v>
      </c>
      <c r="E7" s="12">
        <v>331</v>
      </c>
      <c r="F7" s="12">
        <v>1530</v>
      </c>
      <c r="G7" s="12">
        <v>1379</v>
      </c>
      <c r="H7" s="12">
        <v>1657</v>
      </c>
      <c r="I7" s="12">
        <v>971</v>
      </c>
      <c r="J7" s="12">
        <v>806</v>
      </c>
      <c r="K7" s="12">
        <v>672</v>
      </c>
      <c r="L7" s="12">
        <v>929</v>
      </c>
      <c r="M7" s="12">
        <v>791</v>
      </c>
      <c r="N7" s="12">
        <v>470</v>
      </c>
      <c r="O7" s="12">
        <v>1731</v>
      </c>
      <c r="P7" s="12">
        <v>506</v>
      </c>
      <c r="Q7" s="12">
        <v>728</v>
      </c>
      <c r="R7" s="12">
        <v>448</v>
      </c>
      <c r="S7" s="12">
        <v>2137</v>
      </c>
      <c r="T7" s="12">
        <v>1090</v>
      </c>
      <c r="U7" s="12">
        <v>612</v>
      </c>
      <c r="V7" s="12">
        <v>985</v>
      </c>
      <c r="W7" s="6">
        <f t="shared" si="0"/>
        <v>21</v>
      </c>
      <c r="X7" s="1">
        <f t="shared" si="1"/>
        <v>20164</v>
      </c>
      <c r="Y7" s="1">
        <f t="shared" si="2"/>
        <v>960.19047619047615</v>
      </c>
    </row>
    <row r="8" spans="1:25" x14ac:dyDescent="0.25">
      <c r="W8" s="1">
        <f>SUM(W4:W7)</f>
        <v>84</v>
      </c>
      <c r="X8" s="1">
        <f t="shared" ref="X8:Z8" si="3">SUM(X4:X7)</f>
        <v>81422</v>
      </c>
      <c r="Y8" s="1">
        <f t="shared" si="3"/>
        <v>3877.2380952380954</v>
      </c>
    </row>
    <row r="11" spans="1:25" x14ac:dyDescent="0.25">
      <c r="B11" s="11" t="s">
        <v>3</v>
      </c>
      <c r="C11">
        <v>919.38095238095241</v>
      </c>
    </row>
    <row r="12" spans="1:25" x14ac:dyDescent="0.25">
      <c r="B12" s="11" t="s">
        <v>4</v>
      </c>
      <c r="C12">
        <v>1063.047619047619</v>
      </c>
    </row>
    <row r="13" spans="1:25" x14ac:dyDescent="0.25">
      <c r="B13" s="11" t="s">
        <v>5</v>
      </c>
      <c r="C13">
        <v>934.61904761904759</v>
      </c>
    </row>
    <row r="14" spans="1:25" x14ac:dyDescent="0.25">
      <c r="B14" s="11" t="s">
        <v>6</v>
      </c>
      <c r="C14">
        <v>960.19047619047615</v>
      </c>
    </row>
  </sheetData>
  <mergeCells count="6">
    <mergeCell ref="A1:A3"/>
    <mergeCell ref="B1:V1"/>
    <mergeCell ref="B2:V2"/>
    <mergeCell ref="Y2:Y3"/>
    <mergeCell ref="X2:X3"/>
    <mergeCell ref="W2:W3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William el prro</cp:lastModifiedBy>
  <dcterms:created xsi:type="dcterms:W3CDTF">2025-12-26T22:25:29Z</dcterms:created>
  <dcterms:modified xsi:type="dcterms:W3CDTF">2025-12-26T23:18:13Z</dcterms:modified>
</cp:coreProperties>
</file>
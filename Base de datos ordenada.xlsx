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8AC5BB4-3BFD-4C8C-B7F8-F6191EFE6159}" xr6:coauthVersionLast="47" xr6:coauthVersionMax="47" xr10:uidLastSave="{00000000-0000-0000-0000-000000000000}"/>
  <bookViews>
    <workbookView xWindow="-120" yWindow="-120" windowWidth="29040" windowHeight="15720"/>
  </bookViews>
  <sheets>
    <sheet name="Hoja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2" l="1"/>
  <c r="X6" i="2"/>
  <c r="X7" i="2"/>
  <c r="X4" i="2"/>
  <c r="X8" i="2" s="1"/>
  <c r="W8" i="2"/>
  <c r="Y5" i="2"/>
  <c r="Y6" i="2"/>
  <c r="Y7" i="2"/>
  <c r="Y4" i="2"/>
  <c r="Y8" i="2" s="1"/>
  <c r="W5" i="2"/>
  <c r="W6" i="2"/>
  <c r="W7" i="2"/>
  <c r="W4" i="2"/>
</calcChain>
</file>

<file path=xl/sharedStrings.xml><?xml version="1.0" encoding="utf-8"?>
<sst xmlns="http://schemas.openxmlformats.org/spreadsheetml/2006/main" count="10" uniqueCount="10">
  <si>
    <t>Rendimiento</t>
  </si>
  <si>
    <t>Réplicas</t>
  </si>
  <si>
    <t>Tecnologías</t>
  </si>
  <si>
    <t>A</t>
  </si>
  <si>
    <t>B</t>
  </si>
  <si>
    <t>C</t>
  </si>
  <si>
    <t>D</t>
  </si>
  <si>
    <t>Tamaño</t>
  </si>
  <si>
    <t>Total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</si>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</sst>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9" borderId="10" xfId="0" applyFill="1" applyBorder="1"/>
    <xf numFmtId="0" fontId="0" fillId="38" borderId="11" xfId="0" applyFill="1" applyBorder="1" applyAlignment="1">
      <alignment horizontal="center" vertical="top"/>
    </xf>
    <xf numFmtId="0" fontId="0" fillId="38" borderId="12" xfId="0" applyFill="1" applyBorder="1" applyAlignment="1">
      <alignment horizontal="center" vertical="top"/>
    </xf>
    <xf numFmtId="0" fontId="0" fillId="38" borderId="13" xfId="0" applyFill="1" applyBorder="1" applyAlignment="1">
      <alignment horizontal="center" vertical="top"/>
    </xf>
    <xf numFmtId="0" fontId="0" fillId="38" borderId="14" xfId="0" applyFill="1" applyBorder="1" applyAlignment="1">
      <alignment horizontal="center" vertical="top"/>
    </xf>
    <xf numFmtId="0" fontId="0" fillId="39" borderId="15" xfId="0" applyFill="1" applyBorder="1"/>
    <xf numFmtId="0" fontId="0" fillId="36" borderId="10" xfId="0" applyFill="1" applyBorder="1" applyAlignment="1">
      <alignment horizontal="center"/>
    </xf>
    <xf numFmtId="0" fontId="17" fillId="34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5" borderId="10" xfId="0" applyFill="1" applyBorder="1"/>
    <xf numFmtId="0" fontId="0" fillId="37" borderId="10" xfId="0" applyFill="1" applyBorder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279952</xdr:colOff>
      <xdr:row>1</xdr:row>
      <xdr:rowOff>188843</xdr:rowOff>
    </xdr:from>
    <xdr:ext cx="15824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6DC830B-004E-4CD1-8848-6630DE772D63}"/>
                </a:ext>
              </a:extLst>
            </xdr:cNvPr>
            <xdr:cNvSpPr txBox="1"/>
          </xdr:nvSpPr>
          <xdr:spPr>
            <a:xfrm>
              <a:off x="17043952" y="379343"/>
              <a:ext cx="158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6DC830B-004E-4CD1-8848-6630DE772D63}"/>
                </a:ext>
              </a:extLst>
            </xdr:cNvPr>
            <xdr:cNvSpPr txBox="1"/>
          </xdr:nvSpPr>
          <xdr:spPr>
            <a:xfrm>
              <a:off x="17043952" y="379343"/>
              <a:ext cx="158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𝑛</a:t>
              </a:r>
              <a:r>
                <a:rPr lang="es-PE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23</xdr:col>
      <xdr:colOff>250134</xdr:colOff>
      <xdr:row>1</xdr:row>
      <xdr:rowOff>183874</xdr:rowOff>
    </xdr:from>
    <xdr:ext cx="17306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6756380-29C0-4119-86F0-7DBB070BF6CE}"/>
                </a:ext>
              </a:extLst>
            </xdr:cNvPr>
            <xdr:cNvSpPr txBox="1"/>
          </xdr:nvSpPr>
          <xdr:spPr>
            <a:xfrm>
              <a:off x="17776134" y="374374"/>
              <a:ext cx="1730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.</m:t>
                        </m:r>
                      </m:sub>
                    </m:sSub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6756380-29C0-4119-86F0-7DBB070BF6CE}"/>
                </a:ext>
              </a:extLst>
            </xdr:cNvPr>
            <xdr:cNvSpPr txBox="1"/>
          </xdr:nvSpPr>
          <xdr:spPr>
            <a:xfrm>
              <a:off x="17776134" y="374374"/>
              <a:ext cx="1730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𝑦</a:t>
              </a:r>
              <a:r>
                <a:rPr lang="es-PE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𝑖.</a:t>
              </a:r>
              <a:r>
                <a:rPr lang="es-PE" sz="1100" b="0" i="0">
                  <a:latin typeface="Cambria Math" panose="02040503050406030204" pitchFamily="18" charset="0"/>
                </a:rPr>
                <a:t>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24</xdr:col>
      <xdr:colOff>271669</xdr:colOff>
      <xdr:row>1</xdr:row>
      <xdr:rowOff>188843</xdr:rowOff>
    </xdr:from>
    <xdr:ext cx="17306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40A87A78-112B-46CB-9A1B-742B13C4127F}"/>
                </a:ext>
              </a:extLst>
            </xdr:cNvPr>
            <xdr:cNvSpPr txBox="1"/>
          </xdr:nvSpPr>
          <xdr:spPr>
            <a:xfrm>
              <a:off x="18559669" y="379343"/>
              <a:ext cx="1730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PE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.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40A87A78-112B-46CB-9A1B-742B13C4127F}"/>
                </a:ext>
              </a:extLst>
            </xdr:cNvPr>
            <xdr:cNvSpPr txBox="1"/>
          </xdr:nvSpPr>
          <xdr:spPr>
            <a:xfrm>
              <a:off x="18559669" y="379343"/>
              <a:ext cx="1730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𝑦</a:t>
              </a:r>
              <a:r>
                <a:rPr lang="es-PE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𝑖.</a:t>
              </a:r>
              <a:r>
                <a:rPr lang="es-PE" sz="1100" b="0" i="0">
                  <a:latin typeface="Cambria Math" panose="02040503050406030204" pitchFamily="18" charset="0"/>
                </a:rPr>
                <a:t>) ) ̅</a:t>
              </a:r>
              <a:endParaRPr lang="es-PE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zoomScale="85" zoomScaleNormal="85" workbookViewId="0">
      <selection activeCell="H23" sqref="H23"/>
    </sheetView>
  </sheetViews>
  <sheetFormatPr baseColWidth="10" defaultRowHeight="15" x14ac:dyDescent="0.25"/>
  <sheetData>
    <row r="1" spans="1:25" x14ac:dyDescent="0.25">
      <c r="A1" s="7" t="s">
        <v>2</v>
      </c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5" x14ac:dyDescent="0.25">
      <c r="A2" s="7"/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4" t="s">
        <v>7</v>
      </c>
      <c r="X2" s="2" t="s">
        <v>8</v>
      </c>
      <c r="Y2" s="2" t="s">
        <v>9</v>
      </c>
    </row>
    <row r="3" spans="1:25" x14ac:dyDescent="0.25">
      <c r="A3" s="7"/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5"/>
      <c r="X3" s="3"/>
      <c r="Y3" s="3"/>
    </row>
    <row r="4" spans="1:25" x14ac:dyDescent="0.25">
      <c r="A4" s="11" t="s">
        <v>3</v>
      </c>
      <c r="B4" s="12">
        <v>1036</v>
      </c>
      <c r="C4" s="12">
        <v>364</v>
      </c>
      <c r="D4" s="12">
        <v>1019</v>
      </c>
      <c r="E4" s="12">
        <v>447</v>
      </c>
      <c r="F4" s="12">
        <v>1532</v>
      </c>
      <c r="G4" s="12">
        <v>1161</v>
      </c>
      <c r="H4" s="12">
        <v>1309</v>
      </c>
      <c r="I4" s="12">
        <v>834</v>
      </c>
      <c r="J4" s="12">
        <v>729</v>
      </c>
      <c r="K4" s="12">
        <v>749</v>
      </c>
      <c r="L4" s="12">
        <v>918</v>
      </c>
      <c r="M4" s="12">
        <v>668</v>
      </c>
      <c r="N4" s="12">
        <v>460</v>
      </c>
      <c r="O4" s="12">
        <v>1446</v>
      </c>
      <c r="P4" s="12">
        <v>770</v>
      </c>
      <c r="Q4" s="12">
        <v>675</v>
      </c>
      <c r="R4" s="12">
        <v>515</v>
      </c>
      <c r="S4" s="12">
        <v>2110</v>
      </c>
      <c r="T4" s="12">
        <v>1046</v>
      </c>
      <c r="U4" s="12">
        <v>517</v>
      </c>
      <c r="V4" s="12">
        <v>1002</v>
      </c>
      <c r="W4" s="6">
        <f>COUNT(B4:V4)</f>
        <v>21</v>
      </c>
      <c r="X4" s="1">
        <f>SUM(B4:V4)</f>
        <v>19307</v>
      </c>
      <c r="Y4" s="1">
        <f>X4/W4</f>
        <v>919.38095238095241</v>
      </c>
    </row>
    <row r="5" spans="1:25" x14ac:dyDescent="0.25">
      <c r="A5" s="11" t="s">
        <v>4</v>
      </c>
      <c r="B5" s="12">
        <v>1272</v>
      </c>
      <c r="C5" s="12">
        <v>249</v>
      </c>
      <c r="D5" s="12">
        <v>1019</v>
      </c>
      <c r="E5" s="12">
        <v>780</v>
      </c>
      <c r="F5" s="12">
        <v>1214</v>
      </c>
      <c r="G5" s="12">
        <v>1521</v>
      </c>
      <c r="H5" s="12">
        <v>1477</v>
      </c>
      <c r="I5" s="12">
        <v>1087</v>
      </c>
      <c r="J5" s="12">
        <v>787</v>
      </c>
      <c r="K5" s="12">
        <v>543</v>
      </c>
      <c r="L5" s="12">
        <v>1214</v>
      </c>
      <c r="M5" s="12">
        <v>835</v>
      </c>
      <c r="N5" s="12">
        <v>566</v>
      </c>
      <c r="O5" s="12">
        <v>1794</v>
      </c>
      <c r="P5" s="12">
        <v>527</v>
      </c>
      <c r="Q5" s="12">
        <v>992</v>
      </c>
      <c r="R5" s="12">
        <v>606</v>
      </c>
      <c r="S5" s="12">
        <v>1987</v>
      </c>
      <c r="T5" s="12">
        <v>1993</v>
      </c>
      <c r="U5" s="12">
        <v>559</v>
      </c>
      <c r="V5" s="12">
        <v>1302</v>
      </c>
      <c r="W5" s="6">
        <f t="shared" ref="W5:W7" si="0">COUNT(B5:V5)</f>
        <v>21</v>
      </c>
      <c r="X5" s="1">
        <f t="shared" ref="X5:X7" si="1">SUM(B5:V5)</f>
        <v>22324</v>
      </c>
      <c r="Y5" s="1">
        <f t="shared" ref="Y5:Y7" si="2">X5/W5</f>
        <v>1063.047619047619</v>
      </c>
    </row>
    <row r="6" spans="1:25" x14ac:dyDescent="0.25">
      <c r="A6" s="11" t="s">
        <v>5</v>
      </c>
      <c r="B6" s="12">
        <v>787</v>
      </c>
      <c r="C6" s="12">
        <v>258</v>
      </c>
      <c r="D6" s="12">
        <v>911</v>
      </c>
      <c r="E6" s="12">
        <v>717</v>
      </c>
      <c r="F6" s="12">
        <v>1246</v>
      </c>
      <c r="G6" s="12">
        <v>1410</v>
      </c>
      <c r="H6" s="12">
        <v>1626</v>
      </c>
      <c r="I6" s="12">
        <v>1065</v>
      </c>
      <c r="J6" s="12">
        <v>844</v>
      </c>
      <c r="K6" s="12">
        <v>700</v>
      </c>
      <c r="L6" s="12">
        <v>1055</v>
      </c>
      <c r="M6" s="12">
        <v>818</v>
      </c>
      <c r="N6" s="12">
        <v>508</v>
      </c>
      <c r="O6" s="12">
        <v>1688</v>
      </c>
      <c r="P6" s="12">
        <v>960</v>
      </c>
      <c r="Q6" s="12">
        <v>401</v>
      </c>
      <c r="R6" s="12">
        <v>422</v>
      </c>
      <c r="S6" s="12">
        <v>1706</v>
      </c>
      <c r="T6" s="12">
        <v>958</v>
      </c>
      <c r="U6" s="12">
        <v>527</v>
      </c>
      <c r="V6" s="12">
        <v>1020</v>
      </c>
      <c r="W6" s="6">
        <f t="shared" si="0"/>
        <v>21</v>
      </c>
      <c r="X6" s="1">
        <f t="shared" si="1"/>
        <v>19627</v>
      </c>
      <c r="Y6" s="1">
        <f t="shared" si="2"/>
        <v>934.61904761904759</v>
      </c>
    </row>
    <row r="7" spans="1:25" x14ac:dyDescent="0.25">
      <c r="A7" s="11" t="s">
        <v>6</v>
      </c>
      <c r="B7" s="12">
        <v>806</v>
      </c>
      <c r="C7" s="12">
        <v>370</v>
      </c>
      <c r="D7" s="12">
        <v>1215</v>
      </c>
      <c r="E7" s="12">
        <v>331</v>
      </c>
      <c r="F7" s="12">
        <v>1530</v>
      </c>
      <c r="G7" s="12">
        <v>1379</v>
      </c>
      <c r="H7" s="12">
        <v>1657</v>
      </c>
      <c r="I7" s="12">
        <v>971</v>
      </c>
      <c r="J7" s="12">
        <v>806</v>
      </c>
      <c r="K7" s="12">
        <v>672</v>
      </c>
      <c r="L7" s="12">
        <v>929</v>
      </c>
      <c r="M7" s="12">
        <v>791</v>
      </c>
      <c r="N7" s="12">
        <v>470</v>
      </c>
      <c r="O7" s="12">
        <v>1731</v>
      </c>
      <c r="P7" s="12">
        <v>506</v>
      </c>
      <c r="Q7" s="12">
        <v>728</v>
      </c>
      <c r="R7" s="12">
        <v>448</v>
      </c>
      <c r="S7" s="12">
        <v>2137</v>
      </c>
      <c r="T7" s="12">
        <v>1090</v>
      </c>
      <c r="U7" s="12">
        <v>612</v>
      </c>
      <c r="V7" s="12">
        <v>985</v>
      </c>
      <c r="W7" s="6">
        <f t="shared" si="0"/>
        <v>21</v>
      </c>
      <c r="X7" s="1">
        <f t="shared" si="1"/>
        <v>20164</v>
      </c>
      <c r="Y7" s="1">
        <f t="shared" si="2"/>
        <v>960.19047619047615</v>
      </c>
    </row>
    <row r="8" spans="1:25" x14ac:dyDescent="0.25">
      <c r="W8" s="1">
        <f>SUM(W4:W7)</f>
        <v>84</v>
      </c>
      <c r="X8" s="1">
        <f t="shared" ref="X8:Z8" si="3">SUM(X4:X7)</f>
        <v>81422</v>
      </c>
      <c r="Y8" s="1">
        <f t="shared" si="3"/>
        <v>3877.2380952380954</v>
      </c>
    </row>
  </sheetData>
  <mergeCells count="6">
    <mergeCell ref="A1:A3"/>
    <mergeCell ref="B1:V1"/>
    <mergeCell ref="B2:V2"/>
    <mergeCell ref="Y2:Y3"/>
    <mergeCell ref="X2:X3"/>
    <mergeCell ref="W2:W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William el prro</cp:lastModifiedBy>
  <dcterms:created xsi:type="dcterms:W3CDTF">2025-12-26T22:25:29Z</dcterms:created>
  <dcterms:modified xsi:type="dcterms:W3CDTF">2025-12-26T22:25:29Z</dcterms:modified>
</cp:coreProperties>
</file>